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ample budgets" sheetId="2" state="visible" r:id="rId2"/>
    <sheet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;[Red]-&quot;$&quot;#,##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1E1E77"/>
      <sz val="10"/>
    </font>
    <font>
      <name val="Arial"/>
      <b val="1"/>
      <color rgb="00FFFFFF"/>
      <sz val="10"/>
    </font>
    <font>
      <name val="Arial"/>
      <b val="1"/>
      <color rgb="001E1E77"/>
      <sz val="11"/>
    </font>
    <font>
      <name val="Arial"/>
      <color rgb="001A1414"/>
      <sz val="10"/>
    </font>
    <font>
      <name val="Arial"/>
      <i val="1"/>
      <color rgb="006B6B6B"/>
      <sz val="9"/>
    </font>
    <font>
      <name val="Arial"/>
      <i val="1"/>
      <color rgb="006B6B6B"/>
      <sz val="10"/>
    </font>
    <font>
      <name val="Arial"/>
      <b val="1"/>
      <color rgb="001E1E77"/>
      <sz val="16"/>
    </font>
    <font>
      <name val="Arial"/>
      <b val="1"/>
      <color rgb="001A1414"/>
      <sz val="10"/>
    </font>
    <font>
      <name val="Arial"/>
      <color rgb="000563C1"/>
      <sz val="10"/>
      <u val="single"/>
    </font>
  </fonts>
  <fills count="6">
    <fill>
      <patternFill/>
    </fill>
    <fill>
      <patternFill patternType="gray125"/>
    </fill>
    <fill>
      <patternFill patternType="solid">
        <fgColor rgb="001E1E77"/>
      </patternFill>
    </fill>
    <fill>
      <patternFill patternType="solid">
        <fgColor rgb="00FFF6CC"/>
      </patternFill>
    </fill>
    <fill>
      <patternFill patternType="solid">
        <fgColor rgb="004ACF6C"/>
      </patternFill>
    </fill>
    <fill>
      <patternFill patternType="solid">
        <fgColor rgb="00F3F5FB"/>
      </patternFill>
    </fill>
  </fills>
  <borders count="2">
    <border>
      <left/>
      <right/>
      <top/>
      <bottom/>
      <diagonal/>
    </border>
    <border>
      <left style="thin">
        <color rgb="00D9DCE6"/>
      </left>
      <right style="thin">
        <color rgb="00D9DCE6"/>
      </right>
      <top style="thin">
        <color rgb="00D9DCE6"/>
      </top>
      <bottom style="thin">
        <color rgb="00D9DCE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4" fillId="4" borderId="1" applyAlignment="1" pivotButton="0" quotePrefix="0" xfId="0">
      <alignment vertical="center" wrapText="1"/>
    </xf>
    <xf numFmtId="0" fontId="5" fillId="5" borderId="0" applyAlignment="1" pivotButton="0" quotePrefix="0" xfId="0">
      <alignment indent="1"/>
    </xf>
    <xf numFmtId="0" fontId="6" fillId="0" borderId="1" pivotButton="0" quotePrefix="0" xfId="0"/>
    <xf numFmtId="165" fontId="6" fillId="0" borderId="1" pivotButton="0" quotePrefix="0" xfId="0"/>
    <xf numFmtId="165" fontId="6" fillId="3" borderId="1" pivotButton="0" quotePrefix="0" xfId="0"/>
    <xf numFmtId="0" fontId="6" fillId="0" borderId="1" applyAlignment="1" pivotButton="0" quotePrefix="0" xfId="0">
      <alignment wrapText="1"/>
    </xf>
    <xf numFmtId="0" fontId="3" fillId="5" borderId="1" pivotButton="0" quotePrefix="0" xfId="0"/>
    <xf numFmtId="165" fontId="3" fillId="5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7" fillId="0" borderId="0" applyAlignment="1" pivotButton="0" quotePrefix="0" xfId="0">
      <alignment wrapText="1" indent="1"/>
    </xf>
    <xf numFmtId="164" fontId="6" fillId="0" borderId="1" pivotButton="0" quotePrefix="0" xfId="0"/>
    <xf numFmtId="1" fontId="6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cmgt.org/resources/hoa-budget-template" TargetMode="External" Id="rId1" /><Relationship Type="http://schemas.openxmlformats.org/officeDocument/2006/relationships/hyperlink" Target="https://cmgt.org/request-a-proposal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34" customHeight="1">
      <c r="A1" s="1" t="inlineStr">
        <is>
          <t>HOA Annual Budget Template</t>
        </is>
      </c>
    </row>
    <row r="2" ht="20" customHeight="1">
      <c r="A2" s="2" t="inlineStr">
        <is>
          <t>Four sections — income, operating, reserves &amp; contingency — plus the dues math. Yellow cells are yours to fill in.</t>
        </is>
      </c>
    </row>
    <row r="4">
      <c r="A4" s="3" t="inlineStr">
        <is>
          <t>Fiscal year</t>
        </is>
      </c>
      <c r="B4" s="4" t="n">
        <v>2027</v>
      </c>
    </row>
    <row r="5">
      <c r="A5" s="3" t="inlineStr">
        <is>
          <t>Number of homes / units</t>
        </is>
      </c>
      <c r="B5" s="4" t="n">
        <v>150</v>
      </c>
    </row>
    <row r="6">
      <c r="A6" s="3" t="inlineStr">
        <is>
          <t>Payment periods per year (12 = monthly, 4 = quarterly, 1 = annual)</t>
        </is>
      </c>
      <c r="B6" s="4" t="n">
        <v>12</v>
      </c>
    </row>
    <row r="7">
      <c r="A7" s="3" t="inlineStr">
        <is>
          <t>Delinquency allowance (share of dues you expect to arrive late)</t>
        </is>
      </c>
      <c r="B7" s="5" t="n">
        <v>0.05</v>
      </c>
    </row>
    <row r="9" ht="30" customHeight="1">
      <c r="A9" s="6" t="inlineStr">
        <is>
          <t>Line item</t>
        </is>
      </c>
      <c r="B9" s="6" t="inlineStr">
        <is>
          <t>Last year — actual</t>
        </is>
      </c>
      <c r="C9" s="6" t="inlineStr">
        <is>
          <t>This year — budget</t>
        </is>
      </c>
      <c r="D9" s="6" t="inlineStr">
        <is>
          <t>Change</t>
        </is>
      </c>
      <c r="E9" s="6" t="inlineStr">
        <is>
          <t>Notes</t>
        </is>
      </c>
    </row>
    <row r="10">
      <c r="A10" s="7" t="inlineStr">
        <is>
          <t>INCOME</t>
        </is>
      </c>
    </row>
    <row r="11">
      <c r="A11" s="8" t="inlineStr">
        <is>
          <t>Assessments / dues</t>
        </is>
      </c>
      <c r="B11" s="9" t="n">
        <v>276000</v>
      </c>
      <c r="C11" s="10" t="n">
        <v>290500</v>
      </c>
      <c r="D11" s="9">
        <f>C11-B11</f>
        <v/>
      </c>
      <c r="E11" s="11" t="inlineStr">
        <is>
          <t>Primary income. Ties back to the dues math below.</t>
        </is>
      </c>
    </row>
    <row r="12">
      <c r="A12" s="8" t="inlineStr">
        <is>
          <t>Late fees &amp; interest</t>
        </is>
      </c>
      <c r="B12" s="9" t="n">
        <v>5000</v>
      </c>
      <c r="C12" s="10" t="n">
        <v>4000</v>
      </c>
      <c r="D12" s="9">
        <f>C12-B12</f>
        <v/>
      </c>
      <c r="E12" s="11" t="inlineStr"/>
    </row>
    <row r="13">
      <c r="A13" s="8" t="inlineStr">
        <is>
          <t>Clubhouse / amenity rentals</t>
        </is>
      </c>
      <c r="B13" s="9" t="n">
        <v>3500</v>
      </c>
      <c r="C13" s="10" t="n">
        <v>4000</v>
      </c>
      <c r="D13" s="9">
        <f>C13-B13</f>
        <v/>
      </c>
      <c r="E13" s="11" t="inlineStr"/>
    </row>
    <row r="14">
      <c r="A14" s="8" t="inlineStr">
        <is>
          <t>Interest &amp; other income</t>
        </is>
      </c>
      <c r="B14" s="9" t="n">
        <v>1200</v>
      </c>
      <c r="C14" s="10" t="n">
        <v>1500</v>
      </c>
      <c r="D14" s="9">
        <f>C14-B14</f>
        <v/>
      </c>
      <c r="E14" s="11" t="inlineStr"/>
    </row>
    <row r="15">
      <c r="A15" s="12" t="inlineStr">
        <is>
          <t>Total income</t>
        </is>
      </c>
      <c r="B15" s="13">
        <f>SUM(B11:B14)</f>
        <v/>
      </c>
      <c r="C15" s="13">
        <f>SUM(C11:C14)</f>
        <v/>
      </c>
      <c r="D15" s="13">
        <f>C15-B15</f>
        <v/>
      </c>
      <c r="E15" s="13" t="n"/>
    </row>
    <row r="17">
      <c r="A17" s="7" t="inlineStr">
        <is>
          <t>OPERATING EXPENSES</t>
        </is>
      </c>
    </row>
    <row r="18">
      <c r="A18" s="8" t="inlineStr">
        <is>
          <t>Management fee</t>
        </is>
      </c>
      <c r="B18" s="9" t="n">
        <v>44500</v>
      </c>
      <c r="C18" s="10" t="n">
        <v>46000</v>
      </c>
      <c r="D18" s="9">
        <f>C18-B18</f>
        <v/>
      </c>
      <c r="E18" s="11" t="inlineStr">
        <is>
          <t>Per your management agreement.</t>
        </is>
      </c>
    </row>
    <row r="19">
      <c r="A19" s="8" t="inlineStr">
        <is>
          <t>Insurance — master policy (property, GL, D&amp;O, fidelity)</t>
        </is>
      </c>
      <c r="B19" s="9" t="n">
        <v>39000</v>
      </c>
      <c r="C19" s="10" t="n">
        <v>44000</v>
      </c>
      <c r="D19" s="9">
        <f>C19-B19</f>
        <v/>
      </c>
      <c r="E19" s="11" t="inlineStr">
        <is>
          <t>Get the renewal quote before you finalize — premiums move.</t>
        </is>
      </c>
    </row>
    <row r="20">
      <c r="A20" s="8" t="inlineStr">
        <is>
          <t>Insurance — windstorm / flood (if separate)</t>
        </is>
      </c>
      <c r="B20" s="9" t="n">
        <v>14500</v>
      </c>
      <c r="C20" s="10" t="n">
        <v>16000</v>
      </c>
      <c r="D20" s="9">
        <f>C20-B20</f>
        <v/>
      </c>
      <c r="E20" s="11" t="inlineStr">
        <is>
          <t>Gulf South: usually separate policies with their own deductibles.</t>
        </is>
      </c>
    </row>
    <row r="21">
      <c r="A21" s="8" t="inlineStr">
        <is>
          <t>Utilities — common areas (electric, water, gas)</t>
        </is>
      </c>
      <c r="B21" s="9" t="n">
        <v>19000</v>
      </c>
      <c r="C21" s="10" t="n">
        <v>20000</v>
      </c>
      <c r="D21" s="9">
        <f>C21-B21</f>
        <v/>
      </c>
      <c r="E21" s="11" t="inlineStr"/>
    </row>
    <row r="22">
      <c r="A22" s="8" t="inlineStr">
        <is>
          <t>Landscaping &amp; grounds</t>
        </is>
      </c>
      <c r="B22" s="9" t="n">
        <v>33000</v>
      </c>
      <c r="C22" s="10" t="n">
        <v>34000</v>
      </c>
      <c r="D22" s="9">
        <f>C22-B22</f>
        <v/>
      </c>
      <c r="E22" s="11" t="inlineStr"/>
    </row>
    <row r="23">
      <c r="A23" s="8" t="inlineStr">
        <is>
          <t>Pool &amp; amenity operations</t>
        </is>
      </c>
      <c r="B23" s="9" t="n">
        <v>13500</v>
      </c>
      <c r="C23" s="10" t="n">
        <v>14000</v>
      </c>
      <c r="D23" s="9">
        <f>C23-B23</f>
        <v/>
      </c>
      <c r="E23" s="11" t="inlineStr">
        <is>
          <t>Service contract, chemicals, permits.</t>
        </is>
      </c>
    </row>
    <row r="24">
      <c r="A24" s="8" t="inlineStr">
        <is>
          <t>Repairs &amp; maintenance — routine</t>
        </is>
      </c>
      <c r="B24" s="9" t="n">
        <v>11200</v>
      </c>
      <c r="C24" s="10" t="n">
        <v>10000</v>
      </c>
      <c r="D24" s="9">
        <f>C24-B24</f>
        <v/>
      </c>
      <c r="E24" s="11" t="inlineStr">
        <is>
          <t>Day-to-day fixes. Big replacements belong in reserves.</t>
        </is>
      </c>
    </row>
    <row r="25">
      <c r="A25" s="8" t="inlineStr">
        <is>
          <t>Legal &amp; accounting (audit, tax prep, counsel)</t>
        </is>
      </c>
      <c r="B25" s="9" t="n">
        <v>7000</v>
      </c>
      <c r="C25" s="10" t="n">
        <v>7500</v>
      </c>
      <c r="D25" s="9">
        <f>C25-B25</f>
        <v/>
      </c>
      <c r="E25" s="11" t="inlineStr"/>
    </row>
    <row r="26">
      <c r="A26" s="8" t="inlineStr">
        <is>
          <t>Administrative (postage, meetings, software, website)</t>
        </is>
      </c>
      <c r="B26" s="9" t="n">
        <v>3300</v>
      </c>
      <c r="C26" s="10" t="n">
        <v>3500</v>
      </c>
      <c r="D26" s="9">
        <f>C26-B26</f>
        <v/>
      </c>
      <c r="E26" s="11" t="inlineStr"/>
    </row>
    <row r="27">
      <c r="A27" s="8" t="inlineStr">
        <is>
          <t>Hurricane-season contingency</t>
        </is>
      </c>
      <c r="B27" s="9" t="n">
        <v>0</v>
      </c>
      <c r="C27" s="10" t="n">
        <v>0</v>
      </c>
      <c r="D27" s="9">
        <f>C27-B27</f>
        <v/>
      </c>
      <c r="E27" s="11" t="inlineStr">
        <is>
          <t>Optional but smart on the coast. Give it its own line so it isn't spent on routine repairs.</t>
        </is>
      </c>
    </row>
    <row r="28">
      <c r="A28" s="12" t="inlineStr">
        <is>
          <t>Total operating expenses</t>
        </is>
      </c>
      <c r="B28" s="13">
        <f>SUM(B18:B27)</f>
        <v/>
      </c>
      <c r="C28" s="13">
        <f>SUM(C18:C27)</f>
        <v/>
      </c>
      <c r="D28" s="13">
        <f>C28-B28</f>
        <v/>
      </c>
      <c r="E28" s="13" t="n"/>
    </row>
    <row r="30">
      <c r="A30" s="7" t="inlineStr">
        <is>
          <t>RESERVES &amp; CONTINGENCY</t>
        </is>
      </c>
    </row>
    <row r="31">
      <c r="A31" s="8" t="inlineStr">
        <is>
          <t>Reserve contribution (from the reserve study)</t>
        </is>
      </c>
      <c r="B31" s="9" t="n">
        <v>84000</v>
      </c>
      <c r="C31" s="10" t="n">
        <v>90000</v>
      </c>
      <c r="D31" s="9">
        <f>C31-B31</f>
        <v/>
      </c>
      <c r="E31" s="11" t="inlineStr">
        <is>
          <t>Never a guess. Use the annual contribution your reserve study recommends.</t>
        </is>
      </c>
    </row>
    <row r="32">
      <c r="A32" s="8" t="inlineStr">
        <is>
          <t>General contingency (3–5% of operating)</t>
        </is>
      </c>
      <c r="B32" s="9" t="n">
        <v>12000</v>
      </c>
      <c r="C32" s="10" t="n">
        <v>15000</v>
      </c>
      <c r="D32" s="9">
        <f>C32-B32</f>
        <v/>
      </c>
      <c r="E32" s="11" t="inlineStr">
        <is>
          <t>Absorbs surprises so you don't dip into reserves.</t>
        </is>
      </c>
    </row>
    <row r="33">
      <c r="A33" s="12" t="inlineStr">
        <is>
          <t>Total reserves &amp; contingency</t>
        </is>
      </c>
      <c r="B33" s="13">
        <f>SUM(B31:B32)</f>
        <v/>
      </c>
      <c r="C33" s="13">
        <f>SUM(C31:C32)</f>
        <v/>
      </c>
      <c r="D33" s="13">
        <f>C33-B33</f>
        <v/>
      </c>
      <c r="E33" s="13" t="n"/>
    </row>
    <row r="35">
      <c r="A35" s="7" t="inlineStr">
        <is>
          <t>SUMMARY &amp; DUES MATH</t>
        </is>
      </c>
    </row>
    <row r="36">
      <c r="A36" s="8" t="inlineStr">
        <is>
          <t>Total expenses (operating + reserves + contingency)</t>
        </is>
      </c>
      <c r="B36" s="8" t="n"/>
      <c r="C36" s="14">
        <f>C28+C33</f>
        <v/>
      </c>
      <c r="D36" s="8" t="n"/>
      <c r="E36" s="11" t="inlineStr">
        <is>
          <t>What the year actually costs to run.</t>
        </is>
      </c>
    </row>
    <row r="37">
      <c r="A37" s="8" t="inlineStr">
        <is>
          <t>Total income</t>
        </is>
      </c>
      <c r="B37" s="8" t="n"/>
      <c r="C37" s="14">
        <f>C15</f>
        <v/>
      </c>
      <c r="D37" s="8" t="n"/>
      <c r="E37" s="11" t="inlineStr"/>
    </row>
    <row r="38">
      <c r="A38" s="8" t="inlineStr">
        <is>
          <t>Surplus / (deficit)</t>
        </is>
      </c>
      <c r="B38" s="8" t="n"/>
      <c r="C38" s="14">
        <f>C37-C36</f>
        <v/>
      </c>
      <c r="D38" s="8" t="n"/>
      <c r="E38" s="11" t="inlineStr">
        <is>
          <t>Aim for zero or a small surplus. A deficit means dues are too low or costs too high.</t>
        </is>
      </c>
    </row>
    <row r="39">
      <c r="A39" s="8" t="inlineStr">
        <is>
          <t>Annual assessment per home</t>
        </is>
      </c>
      <c r="B39" s="8" t="n"/>
      <c r="C39" s="14">
        <f>C36/$B$5</f>
        <v/>
      </c>
      <c r="D39" s="8" t="n"/>
      <c r="E39" s="11" t="inlineStr">
        <is>
          <t>Total expenses ÷ homes.</t>
        </is>
      </c>
    </row>
    <row r="40">
      <c r="A40" s="8" t="inlineStr">
        <is>
          <t>Assessment per home, per payment period</t>
        </is>
      </c>
      <c r="B40" s="8" t="n"/>
      <c r="C40" s="14">
        <f>C39/$B$6</f>
        <v/>
      </c>
      <c r="D40" s="8" t="n"/>
      <c r="E40" s="11" t="inlineStr">
        <is>
          <t>÷ payment periods (12 = monthly).</t>
        </is>
      </c>
    </row>
    <row r="41">
      <c r="A41" s="8" t="inlineStr">
        <is>
          <t>…grossed up for the delinquency allowance</t>
        </is>
      </c>
      <c r="B41" s="8" t="n"/>
      <c r="C41" s="14">
        <f>C40/(1-$B$7)</f>
        <v/>
      </c>
      <c r="D41" s="8" t="n"/>
      <c r="E41" s="11" t="inlineStr">
        <is>
          <t>What to actually bill so the plan still works when a few owners pay late.</t>
        </is>
      </c>
    </row>
    <row r="42">
      <c r="A42" s="8" t="inlineStr">
        <is>
          <t>Reserve contribution as % of total expenses</t>
        </is>
      </c>
      <c r="B42" s="8" t="n"/>
      <c r="C42" s="15">
        <f>C33/C36</f>
        <v/>
      </c>
      <c r="D42" s="8" t="n"/>
      <c r="E42" s="11" t="inlineStr">
        <is>
          <t>Lenders (e.g. Fannie Mae for condos) generally look for at least 10%.</t>
        </is>
      </c>
    </row>
    <row r="44" ht="28" customHeight="1">
      <c r="A44" s="16" t="inlineStr">
        <is>
          <t>Illustrative figures, not a real community's financials. Not legal or financial advice. Free from CMGT — https://cmgt.org/resources/hoa-budget-template</t>
        </is>
      </c>
    </row>
  </sheetData>
  <mergeCells count="8">
    <mergeCell ref="A30:E30"/>
    <mergeCell ref="A6"/>
    <mergeCell ref="A35:E35"/>
    <mergeCell ref="A2:E2"/>
    <mergeCell ref="A10:E10"/>
    <mergeCell ref="A1:E1"/>
    <mergeCell ref="A44:E44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4" customHeight="1">
      <c r="A1" s="1" t="inlineStr">
        <is>
          <t>Sample HOA budgets by community size</t>
        </is>
      </c>
    </row>
    <row r="2" ht="20" customHeight="1">
      <c r="A2" s="2" t="inlineStr">
        <is>
          <t>Illustrative shapes to model against — plug your own numbers into the Budget tab.</t>
        </is>
      </c>
    </row>
    <row r="4" ht="30" customHeight="1">
      <c r="A4" s="6" t="inlineStr"/>
      <c r="B4" s="6" t="inlineStr">
        <is>
          <t>Small HOA (≈40 homes, no amenities)</t>
        </is>
      </c>
      <c r="C4" s="6" t="inlineStr">
        <is>
          <t>Mid-size (≈150 homes, pool &amp; common areas)</t>
        </is>
      </c>
      <c r="D4" s="6" t="inlineStr">
        <is>
          <t>Large / master-planned (amenities &amp; staff)</t>
        </is>
      </c>
      <c r="E4" s="6" t="inlineStr"/>
    </row>
    <row r="5">
      <c r="A5" s="8" t="inlineStr">
        <is>
          <t>Total annual budget</t>
        </is>
      </c>
      <c r="B5" s="9" t="n">
        <v>40000</v>
      </c>
      <c r="C5" s="9" t="n">
        <v>300000</v>
      </c>
      <c r="D5" s="9" t="n">
        <v>1000000</v>
      </c>
    </row>
    <row r="6">
      <c r="A6" s="8" t="inlineStr">
        <is>
          <t>Operating share</t>
        </is>
      </c>
      <c r="B6" s="17" t="n">
        <v>0.75</v>
      </c>
      <c r="C6" s="17" t="n">
        <v>0.65</v>
      </c>
      <c r="D6" s="17" t="n">
        <v>0.6</v>
      </c>
    </row>
    <row r="7">
      <c r="A7" s="8" t="inlineStr">
        <is>
          <t>Reserve share</t>
        </is>
      </c>
      <c r="B7" s="17" t="n">
        <v>0.2</v>
      </c>
      <c r="C7" s="17" t="n">
        <v>0.3</v>
      </c>
      <c r="D7" s="17" t="n">
        <v>0.35</v>
      </c>
    </row>
    <row r="8">
      <c r="A8" s="8" t="inlineStr">
        <is>
          <t>Contingency share</t>
        </is>
      </c>
      <c r="B8" s="17" t="n">
        <v>0.05</v>
      </c>
      <c r="C8" s="17" t="n">
        <v>0.05</v>
      </c>
      <c r="D8" s="17" t="n">
        <v>0.05</v>
      </c>
    </row>
    <row r="9">
      <c r="A9" s="8" t="inlineStr">
        <is>
          <t>Operating $</t>
        </is>
      </c>
      <c r="B9" s="9">
        <f>B5*B6</f>
        <v/>
      </c>
      <c r="C9" s="9">
        <f>C5*C6</f>
        <v/>
      </c>
      <c r="D9" s="9">
        <f>D5*D6</f>
        <v/>
      </c>
    </row>
    <row r="10">
      <c r="A10" s="8" t="inlineStr">
        <is>
          <t>Reserves $</t>
        </is>
      </c>
      <c r="B10" s="9">
        <f>B5*B7</f>
        <v/>
      </c>
      <c r="C10" s="9">
        <f>C5*C7</f>
        <v/>
      </c>
      <c r="D10" s="9">
        <f>D5*D7</f>
        <v/>
      </c>
    </row>
    <row r="11">
      <c r="A11" s="8" t="inlineStr">
        <is>
          <t>Contingency $</t>
        </is>
      </c>
      <c r="B11" s="9">
        <f>B5*B8</f>
        <v/>
      </c>
      <c r="C11" s="9">
        <f>C5*C8</f>
        <v/>
      </c>
      <c r="D11" s="9">
        <f>D5*D8</f>
        <v/>
      </c>
    </row>
    <row r="12">
      <c r="A12" s="8" t="inlineStr">
        <is>
          <t>Homes</t>
        </is>
      </c>
      <c r="B12" s="18" t="n">
        <v>40</v>
      </c>
      <c r="C12" s="18" t="n">
        <v>150</v>
      </c>
      <c r="D12" s="18" t="n">
        <v>400</v>
      </c>
    </row>
    <row r="13">
      <c r="A13" s="8" t="inlineStr">
        <is>
          <t>Dues per home, per month</t>
        </is>
      </c>
      <c r="B13" s="9">
        <f>B5/B12/12</f>
        <v/>
      </c>
      <c r="C13" s="9">
        <f>C5/C12/12</f>
        <v/>
      </c>
      <c r="D13" s="9">
        <f>D5/D12/12</f>
        <v/>
      </c>
    </row>
    <row r="15">
      <c r="A15" s="19" t="inlineStr">
        <is>
          <t>Notice how the reserve share grows as a community adds amenities — more shared assets to replace.</t>
        </is>
      </c>
    </row>
    <row r="17" ht="28" customHeight="1">
      <c r="A17" s="16" t="inlineStr">
        <is>
          <t>Illustrative figures, not a real community's financials. Not legal or financial advice. Free from CMGT — https://cmgt.org/resources/hoa-budget-template</t>
        </is>
      </c>
    </row>
  </sheetData>
  <mergeCells count="3">
    <mergeCell ref="A2:E2"/>
    <mergeCell ref="A1:E1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0" t="inlineStr">
        <is>
          <t>How to use this template</t>
        </is>
      </c>
    </row>
    <row r="3">
      <c r="A3" s="21" t="inlineStr">
        <is>
          <t>1. Start with last year's actuals, not last year's budget. Fill the 'Last year — actual' column from your year-end financial statements.</t>
        </is>
      </c>
    </row>
    <row r="4">
      <c r="A4" s="21" t="inlineStr">
        <is>
          <t>2. Fill the yellow cells: fiscal year, number of homes, payment periods, and the share of dues you expect to arrive late.</t>
        </is>
      </c>
    </row>
    <row r="5">
      <c r="A5" s="21" t="inlineStr">
        <is>
          <t>3. Enter every recurring operating expense in 'This year — budget'. Get the insurance renewal quote before you finalize — in the Gulf South it's the line that moves most.</t>
        </is>
      </c>
    </row>
    <row r="6">
      <c r="A6" s="21" t="inlineStr">
        <is>
          <t>4. Set the reserve contribution to the annual figure your reserve study recommends. If you don't have a current study, that's the first thing to fix (see cmgt.org/resources/hoa-reserve-study).</t>
        </is>
      </c>
    </row>
    <row r="7">
      <c r="A7" s="21" t="inlineStr">
        <is>
          <t>5. Add a general contingency of 3–5% of operating costs, and a hurricane-season line if you're on the coast.</t>
        </is>
      </c>
    </row>
    <row r="8">
      <c r="A8" s="21" t="inlineStr">
        <is>
          <t>6. Read the Summary: total expenses ÷ homes ÷ payment periods = dues. The grossed-up figure is what to actually bill so a few late payers don't sink the plan.</t>
        </is>
      </c>
    </row>
    <row r="9">
      <c r="A9" s="21" t="inlineStr">
        <is>
          <t>7. Take the draft to the board, then follow your governing documents' notice and ratification process before the fiscal year begins.</t>
        </is>
      </c>
    </row>
    <row r="10">
      <c r="A10" s="22" t="inlineStr">
        <is>
          <t>Tips:</t>
        </is>
      </c>
    </row>
    <row r="11">
      <c r="A11" s="21" t="inlineStr">
        <is>
          <t>• Add or delete rows freely — the section totals use SUM ranges, so check they still cover your rows.</t>
        </is>
      </c>
    </row>
    <row r="12">
      <c r="A12" s="21" t="inlineStr">
        <is>
          <t>• Use the Notes column to record where each number came from. Next year's treasurer will thank you.</t>
        </is>
      </c>
    </row>
    <row r="13">
      <c r="A13" s="21" t="inlineStr">
        <is>
          <t>• Copy the whole workbook each year rather than overwriting it, so you keep a history.</t>
        </is>
      </c>
    </row>
    <row r="15">
      <c r="A15" s="23" t="inlineStr">
        <is>
          <t>Read the full guide: https://cmgt.org/resources/hoa-budget-template</t>
        </is>
      </c>
    </row>
    <row r="16">
      <c r="A16" s="24" t="inlineStr">
        <is>
          <t>Prefer not to build it yourself? CMGT prepares and manages association budgets and reserve plans for boards across the Gulf South: https://cmgt.org/request-a-proposal</t>
        </is>
      </c>
    </row>
    <row r="18">
      <c r="A18" s="25" t="inlineStr">
        <is>
          <t>This template is general information for HOA boards, not legal, tax, or financial advice. Budget-adoption rules, reserve requirements, and lending guidelines vary by governing documents and state law — confirm your community's requirements with counsel.</t>
        </is>
      </c>
    </row>
  </sheetData>
  <hyperlinks>
    <hyperlink xmlns:r="http://schemas.openxmlformats.org/officeDocument/2006/relationships" ref="A15" r:id="rId1"/>
    <hyperlink xmlns:r="http://schemas.openxmlformats.org/officeDocument/2006/relationships" ref="A16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2026-09-22T18:30:13Z</dcterms:created>
  <dcterms:modified xsi:type="dcterms:W3CDTF">2026-09-22T18:30:13Z</dcterms:modified>
</cp:coreProperties>
</file>